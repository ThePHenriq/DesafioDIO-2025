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spe\Downloads\"/>
    </mc:Choice>
  </mc:AlternateContent>
  <xr:revisionPtr revIDLastSave="0" documentId="13_ncr:1_{6B70CD42-1B17-44DF-989E-3C9101480FB6}" xr6:coauthVersionLast="47" xr6:coauthVersionMax="47" xr10:uidLastSave="{00000000-0000-0000-0000-000000000000}"/>
  <bookViews>
    <workbookView xWindow="-108" yWindow="-108" windowWidth="23256" windowHeight="12576" tabRatio="0" xr2:uid="{14EBA50B-C204-4A93-8A88-F9AA0A46F34B}"/>
  </bookViews>
  <sheets>
    <sheet name="App" sheetId="4" r:id="rId1"/>
    <sheet name="Base" sheetId="3" state="hidden" r:id="rId2"/>
    <sheet name="DicionárioFin" sheetId="1" state="hidden" r:id="rId3"/>
  </sheets>
  <definedNames>
    <definedName name="aporte">App!$E$13</definedName>
    <definedName name="extra">App!$E$5</definedName>
    <definedName name="ganhomes">App!$E$6</definedName>
    <definedName name="gastomes">App!$E$9</definedName>
    <definedName name="gastos">App!$E$9</definedName>
    <definedName name="gmensal">App!$E$6</definedName>
    <definedName name="nome">App!$E$3</definedName>
    <definedName name="perfil">App!$E$26</definedName>
    <definedName name="salario">App!$E$4</definedName>
    <definedName name="saldo_mes">App!$E$10</definedName>
    <definedName name="tbl_porc">Base!$A$12:$D$30</definedName>
    <definedName name="tempo">App!$A$14</definedName>
    <definedName name="tempo10">App!$A$22</definedName>
    <definedName name="tempo2">App!$A$20</definedName>
    <definedName name="tempo20">App!$A$23</definedName>
    <definedName name="tempo30">App!$A$24</definedName>
    <definedName name="tempo5">App!$A$21</definedName>
    <definedName name="ter_reser_nome">Base!$A$35</definedName>
    <definedName name="ter_reserva">Base!$A$34</definedName>
    <definedName name="vsugerido">App!$E$11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4" l="1"/>
  <c r="E6" i="4"/>
  <c r="E10" i="4" s="1"/>
  <c r="C16" i="4"/>
  <c r="C11" i="4"/>
  <c r="D31" i="4"/>
  <c r="E31" i="4" s="1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13" i="3"/>
  <c r="C28" i="4"/>
  <c r="A24" i="4"/>
  <c r="D24" i="4" s="1"/>
  <c r="E24" i="4" s="1"/>
  <c r="A23" i="4"/>
  <c r="D23" i="4" s="1"/>
  <c r="E23" i="4" s="1"/>
  <c r="A22" i="4"/>
  <c r="D22" i="4" s="1"/>
  <c r="E22" i="4" s="1"/>
  <c r="A21" i="4"/>
  <c r="D21" i="4" s="1"/>
  <c r="E21" i="4" s="1"/>
  <c r="A20" i="4"/>
  <c r="D20" i="4" s="1"/>
  <c r="E20" i="4" s="1"/>
  <c r="A14" i="4"/>
  <c r="E16" i="4" s="1"/>
  <c r="C27" i="4"/>
  <c r="E11" i="4"/>
  <c r="C12" i="4" l="1"/>
  <c r="D36" i="4"/>
  <c r="E36" i="4" s="1"/>
  <c r="D34" i="4"/>
  <c r="E34" i="4" s="1"/>
  <c r="D33" i="4"/>
  <c r="E33" i="4" s="1"/>
  <c r="D35" i="4"/>
  <c r="E35" i="4" s="1"/>
  <c r="D32" i="4"/>
  <c r="E3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Henrique Souto</author>
  </authors>
  <commentList>
    <comment ref="C13" authorId="0" shapeId="0" xr:uid="{3E065280-625C-438A-8AB8-A93C50A4A0BA}">
      <text>
        <r>
          <rPr>
            <b/>
            <sz val="9"/>
            <color indexed="81"/>
            <rFont val="Segoe UI"/>
            <family val="2"/>
          </rPr>
          <t>Aporte: O valor que você vai investir ou colocar em uma aplicação.</t>
        </r>
      </text>
    </comment>
    <comment ref="C15" authorId="0" shapeId="0" xr:uid="{AC208569-2F2E-448A-AC12-A1B379A9CB32}">
      <text>
        <r>
          <rPr>
            <b/>
            <sz val="9"/>
            <color indexed="81"/>
            <rFont val="Segoe UI"/>
            <family val="2"/>
          </rPr>
          <t>Em média, os FIIs oferecem um retorno mensal de 0,5% a 1% do valor investido.
Consideres 0,8% se não souber ainda e pesquise posteriormente.</t>
        </r>
      </text>
    </comment>
  </commentList>
</comments>
</file>

<file path=xl/sharedStrings.xml><?xml version="1.0" encoding="utf-8"?>
<sst xmlns="http://schemas.openxmlformats.org/spreadsheetml/2006/main" count="182" uniqueCount="138">
  <si>
    <t>Aporte</t>
  </si>
  <si>
    <t>O valor que você vai investir ou colocar em uma aplicação.</t>
  </si>
  <si>
    <t>Rendimento</t>
  </si>
  <si>
    <t>Quanto seu dinheiro "rendeu" ou cresceu com o tempo.</t>
  </si>
  <si>
    <t>Rentabilidade</t>
  </si>
  <si>
    <t>A porcentagem que mostra o quanto o investimento deu de lucro.</t>
  </si>
  <si>
    <t>Liquidez</t>
  </si>
  <si>
    <t>Quão rápido você consegue transformar o investimento em dinheiro.</t>
  </si>
  <si>
    <t>Dividendos</t>
  </si>
  <si>
    <t>Parte do lucro de uma empresa que é distribuída aos investidores.</t>
  </si>
  <si>
    <t>Ações</t>
  </si>
  <si>
    <t>Renda Fixa</t>
  </si>
  <si>
    <t>Tipo de investimento com ganhos mais previsíveis (ex: Tesouro Direto).</t>
  </si>
  <si>
    <t>Renda Variável</t>
  </si>
  <si>
    <t>Tipo de investimento com ganhos que podem variar (ex: ações).</t>
  </si>
  <si>
    <t>Tesouro Direto</t>
  </si>
  <si>
    <t>Fundo de Investimento</t>
  </si>
  <si>
    <t>Um grupo de pessoas investindo juntas, gerenciado por um especialista.</t>
  </si>
  <si>
    <t>Inflação</t>
  </si>
  <si>
    <t>Aumento geral dos preços com o tempo; seu dinheiro compra menos.</t>
  </si>
  <si>
    <t>Carteira de Investimentos</t>
  </si>
  <si>
    <t>Conjunto de todos os investimentos que você tem.</t>
  </si>
  <si>
    <t>Corretora</t>
  </si>
  <si>
    <t>Empresa que ajuda você a comprar e vender investimentos.</t>
  </si>
  <si>
    <t>CDB (Certificado de Depósito Bancário)</t>
  </si>
  <si>
    <t>Um tipo de empréstimo que você faz para o banco, e ele te paga juros depois.</t>
  </si>
  <si>
    <t>IPCA</t>
  </si>
  <si>
    <t>Índice que mede a inflação oficial do país.</t>
  </si>
  <si>
    <t>Selic</t>
  </si>
  <si>
    <t>Poupança</t>
  </si>
  <si>
    <t>Conta bancária que rende um pouco de juros. Fácil de usar, mas com retorno baixo.</t>
  </si>
  <si>
    <t>Títulos do governo. Você empresta dinheiro para o país e ele te paga com juros.</t>
  </si>
  <si>
    <t>LCI / LCA</t>
  </si>
  <si>
    <t>Títulos emitidos por bancos que financiam o setor imobiliário (LCI) ou agrícola (LCA), isentos de IR.</t>
  </si>
  <si>
    <t>Fundos de Investimento</t>
  </si>
  <si>
    <t>Várias pessoas investem juntas, e um gestor decide onde aplicar o dinheiro.</t>
  </si>
  <si>
    <t>Fundos Imobiliários (FIIs)</t>
  </si>
  <si>
    <t>Você investe em imóveis ou empreendimentos e recebe parte do aluguel ou valorização.</t>
  </si>
  <si>
    <t>Criptomoedas</t>
  </si>
  <si>
    <t>Moedas digitais (como o Bitcoin). Têm grande potencial de lucro, mas são bem arriscadas.</t>
  </si>
  <si>
    <t>Previdência Privada</t>
  </si>
  <si>
    <t>Investimento de longo prazo para aposentadoria, como um complemento ao INSS.</t>
  </si>
  <si>
    <t>Debêntures</t>
  </si>
  <si>
    <t>Títulos de dívida emitidos por empresas. Você empresta dinheiro e recebe com juros.</t>
  </si>
  <si>
    <t>ETF (Fundo de Índice)</t>
  </si>
  <si>
    <t>Um fundo que acompanha o desempenho de um índice, como o Ibovespa. Prático e diversificado.</t>
  </si>
  <si>
    <t>COE (Certificado de Operações Estruturadas)</t>
  </si>
  <si>
    <t>Combinação de renda fixa e variável, com diferentes estratégias de retorno.</t>
  </si>
  <si>
    <t>FOREX (Câmbio)</t>
  </si>
  <si>
    <t>Investimento em moedas estrangeiras, como dólar ou euro. Risco alto.</t>
  </si>
  <si>
    <t>Commodities</t>
  </si>
  <si>
    <t>Investimento em produtos como ouro, petróleo, café, etc.</t>
  </si>
  <si>
    <t>Taxa básica de juros da economia; afeta todos os outros juros.</t>
  </si>
  <si>
    <t>Perfil de Investidor</t>
  </si>
  <si>
    <t>O tipo de investidor que você é (mais conservador ou mais arrojado).</t>
  </si>
  <si>
    <t>Resgate</t>
  </si>
  <si>
    <t>Quando você retira o dinheiro de um investimento.</t>
  </si>
  <si>
    <t>Prazo de carência</t>
  </si>
  <si>
    <t>Tempo mínimo que você precisa deixar o dinheiro investido.</t>
  </si>
  <si>
    <t>Benchmark</t>
  </si>
  <si>
    <t>Um tipo de "meta" ou referência para comparar o desempenho do investimento.</t>
  </si>
  <si>
    <t>BDRs (Brazilian Depositary Receipts)</t>
  </si>
  <si>
    <t>Ações de empresas estrangeiras negociadas na bolsa brasileira.</t>
  </si>
  <si>
    <t>Partes de empresas que você pode comprar. Você ganha ou perde no ato da venda, se a empresa valorizou, você ganha.</t>
  </si>
  <si>
    <t>Significado simpificado</t>
  </si>
  <si>
    <t>Reserva de Emergência</t>
  </si>
  <si>
    <t>Um valor guardado para imprevistos (desemprego, emergências médicas, etc.). Recomenda-se 6x o seu custo fixo atual.</t>
  </si>
  <si>
    <t>Perfil Conservador</t>
  </si>
  <si>
    <t>Perfil Moderado</t>
  </si>
  <si>
    <t>Perfil Arrojado</t>
  </si>
  <si>
    <t>Prioriza segurança</t>
  </si>
  <si>
    <t>Aceita algum risco para ter mais retorno</t>
  </si>
  <si>
    <t>Tolera oscilações maiores em busca de altos rendimentos</t>
  </si>
  <si>
    <t>Dividend Yield</t>
  </si>
  <si>
    <t>O DY indica a porcentagem do valor investido que o fundo paga mensalmente em dividendos.</t>
  </si>
  <si>
    <t>Papéis (Renda Fixa)</t>
  </si>
  <si>
    <t>Desenvolvimento</t>
  </si>
  <si>
    <t>Tipo de FII</t>
  </si>
  <si>
    <t>Como Identificar</t>
  </si>
  <si>
    <t>Exemplos de Fundos</t>
  </si>
  <si>
    <t>Códigos: CR ou FI. Investem em CRIs, LCIs, papéis.</t>
  </si>
  <si>
    <t>Tijolo (Propriedades Físicas)</t>
  </si>
  <si>
    <t>Códigos: FII + nome do imóvel (shopping, galpão, etc.).</t>
  </si>
  <si>
    <t>Híbridos</t>
  </si>
  <si>
    <t>Mescla de imóveis e papéis.</t>
  </si>
  <si>
    <t>Fundos de Fundos (FOFs)</t>
  </si>
  <si>
    <t>Códigos: FOF ou FII + “fundos de fundos”.</t>
  </si>
  <si>
    <t>Códigos: FII + “desenvolvimento”.</t>
  </si>
  <si>
    <t>Hotelarias</t>
  </si>
  <si>
    <t>Códigos: FII + “Hotel” ou “Hospitality”.</t>
  </si>
  <si>
    <t>FII BB Progressivo, FII Renda Imobiliária</t>
  </si>
  <si>
    <t>FII Torre Norte, FII BTG Logística</t>
  </si>
  <si>
    <t>FII Kinea Renda Imobiliária, FII CSHG Logística</t>
  </si>
  <si>
    <t>FII BB Fundo de Fundos, Vinci Logística FOF</t>
  </si>
  <si>
    <t>FII Development II, FII Logística &amp; Desenvolvimento</t>
  </si>
  <si>
    <t>FII HSI, FII Trend Hotéis</t>
  </si>
  <si>
    <t>Fundos de Papéis (Renda Fixa)</t>
  </si>
  <si>
    <t>Fundos de Tijolo (Propriedades Físicas)</t>
  </si>
  <si>
    <t>Fundos Híbridos</t>
  </si>
  <si>
    <t>Fundos de Desenvolvimento</t>
  </si>
  <si>
    <t>Fundos de Hotelarias</t>
  </si>
  <si>
    <t>Termos comuns</t>
  </si>
  <si>
    <t>Informações iniciais</t>
  </si>
  <si>
    <t>Outros ganhos:</t>
  </si>
  <si>
    <t>Gastos fixos:</t>
  </si>
  <si>
    <t>Nome/Apelido:</t>
  </si>
  <si>
    <t>Salário líquido atual:</t>
  </si>
  <si>
    <t>Seu ganho mensal é de:</t>
  </si>
  <si>
    <t>Você possui reserva de emergência?</t>
  </si>
  <si>
    <t>NÃO</t>
  </si>
  <si>
    <t>Quanto disponível para aporte hoje?</t>
  </si>
  <si>
    <t>Por quantos anos pretende investir?</t>
  </si>
  <si>
    <t>Taxa de Rendimento mensal aproximada?</t>
  </si>
  <si>
    <t>Previsto em 2 Anos ?</t>
  </si>
  <si>
    <t>Previsto em 5 Anos ?</t>
  </si>
  <si>
    <t>Previsto em 10 Anos ?</t>
  </si>
  <si>
    <t>Previsto em 20 Anos ?</t>
  </si>
  <si>
    <t>Previsto em 30 Anos ?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</si>
  <si>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</si>
  <si>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</si>
  <si>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</si>
  <si>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</si>
  <si>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</si>
  <si>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</si>
  <si>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</si>
  <si>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</si>
  <si>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</si>
  <si>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</si>
  <si>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</si>
  <si>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CÓD</t>
  </si>
  <si>
    <t>Quanto te sobra no mês:</t>
  </si>
  <si>
    <t>Periodo</t>
  </si>
  <si>
    <t>Total investido</t>
  </si>
  <si>
    <t>Dividendos aproximados</t>
  </si>
  <si>
    <t xml:space="preserve"> Cenários futuros</t>
  </si>
  <si>
    <t xml:space="preserve">Selecione ao lado o seu perfil de investidor? </t>
  </si>
  <si>
    <t>Voltar para o simulador</t>
  </si>
  <si>
    <t>Mini Dicionário de Finanças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</si>
</sst>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9"/>
      <color indexed="81"/>
      <name val="Segoe UI"/>
      <family val="2"/>
    </font>
    <font>
      <b/>
      <sz val="14"/>
      <color theme="3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8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theme="4"/>
      </bottom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thin">
        <color indexed="64"/>
      </left>
      <right/>
      <top/>
      <bottom style="thick">
        <color theme="3" tint="0.39997558519241921"/>
      </bottom>
      <diagonal/>
    </border>
    <border>
      <left/>
      <right/>
      <top/>
      <bottom style="thick">
        <color theme="3" tint="0.39997558519241921"/>
      </bottom>
      <diagonal/>
    </border>
    <border>
      <left/>
      <right/>
      <top style="double">
        <color theme="3" tint="0.39997558519241921"/>
      </top>
      <bottom style="double">
        <color theme="3" tint="0.39997558519241921"/>
      </bottom>
      <diagonal/>
    </border>
    <border>
      <left/>
      <right/>
      <top/>
      <bottom style="double">
        <color theme="3" tint="0.39997558519241921"/>
      </bottom>
      <diagonal/>
    </border>
    <border>
      <left/>
      <right style="double">
        <color theme="3" tint="0.39997558519241921"/>
      </right>
      <top style="double">
        <color theme="3" tint="0.39997558519241921"/>
      </top>
      <bottom style="double">
        <color theme="3" tint="0.39997558519241921"/>
      </bottom>
      <diagonal/>
    </border>
    <border>
      <left/>
      <right style="double">
        <color theme="3" tint="0.39997558519241921"/>
      </right>
      <top/>
      <bottom style="double">
        <color theme="3" tint="0.39997558519241921"/>
      </bottom>
      <diagonal/>
    </border>
    <border>
      <left/>
      <right style="double">
        <color theme="3" tint="0.39997558519241921"/>
      </right>
      <top/>
      <bottom/>
      <diagonal/>
    </border>
    <border>
      <left style="double">
        <color theme="3" tint="0.39997558519241921"/>
      </left>
      <right style="double">
        <color theme="3" tint="0.39997558519241921"/>
      </right>
      <top style="double">
        <color theme="3" tint="0.39997558519241921"/>
      </top>
      <bottom style="double">
        <color theme="3" tint="0.39997558519241921"/>
      </bottom>
      <diagonal/>
    </border>
    <border>
      <left style="thick">
        <color theme="4"/>
      </left>
      <right/>
      <top style="thick">
        <color theme="3" tint="0.39997558519241921"/>
      </top>
      <bottom/>
      <diagonal/>
    </border>
    <border>
      <left style="double">
        <color theme="3" tint="0.39997558519241921"/>
      </left>
      <right/>
      <top style="double">
        <color theme="3" tint="0.39997558519241921"/>
      </top>
      <bottom style="double">
        <color theme="3" tint="0.3999755851924192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3" applyNumberFormat="0" applyFill="0" applyAlignment="0" applyProtection="0"/>
    <xf numFmtId="0" fontId="10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/>
    <xf numFmtId="9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1" applyFont="1"/>
    <xf numFmtId="0" fontId="0" fillId="0" borderId="0" xfId="0" applyAlignment="1">
      <alignment wrapText="1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18" xfId="0" applyFont="1" applyFill="1" applyBorder="1" applyAlignment="1" applyProtection="1">
      <alignment horizontal="center" vertical="center"/>
    </xf>
    <xf numFmtId="0" fontId="2" fillId="2" borderId="19" xfId="0" applyFont="1" applyFill="1" applyBorder="1" applyAlignment="1" applyProtection="1">
      <alignment horizontal="center" vertical="center"/>
    </xf>
    <xf numFmtId="0" fontId="1" fillId="0" borderId="0" xfId="0" applyFont="1" applyAlignment="1" applyProtection="1"/>
    <xf numFmtId="0" fontId="1" fillId="0" borderId="2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0" fontId="1" fillId="0" borderId="1" xfId="0" applyFont="1" applyBorder="1" applyAlignment="1" applyProtection="1"/>
    <xf numFmtId="0" fontId="10" fillId="0" borderId="0" xfId="3" applyAlignment="1">
      <alignment horizontal="center"/>
    </xf>
    <xf numFmtId="164" fontId="0" fillId="0" borderId="15" xfId="0" applyNumberFormat="1" applyFont="1" applyFill="1" applyBorder="1" applyAlignment="1" applyProtection="1">
      <alignment horizontal="center" vertical="center"/>
      <protection locked="0"/>
    </xf>
    <xf numFmtId="164" fontId="0" fillId="0" borderId="17" xfId="0" applyNumberFormat="1" applyFont="1" applyFill="1" applyBorder="1" applyAlignment="1" applyProtection="1">
      <alignment horizontal="center" vertical="center"/>
      <protection locked="0"/>
    </xf>
    <xf numFmtId="164" fontId="0" fillId="0" borderId="12" xfId="0" applyNumberFormat="1" applyFont="1" applyFill="1" applyBorder="1" applyAlignment="1" applyProtection="1">
      <alignment horizontal="center" vertical="center"/>
      <protection locked="0"/>
    </xf>
    <xf numFmtId="164" fontId="0" fillId="0" borderId="13" xfId="0" applyNumberFormat="1" applyFont="1" applyFill="1" applyBorder="1" applyAlignment="1" applyProtection="1">
      <alignment horizontal="center" vertical="center"/>
      <protection locked="0"/>
    </xf>
    <xf numFmtId="1" fontId="0" fillId="0" borderId="15" xfId="0" applyNumberFormat="1" applyFont="1" applyFill="1" applyBorder="1" applyAlignment="1" applyProtection="1">
      <alignment horizontal="center" vertical="center"/>
      <protection locked="0"/>
    </xf>
    <xf numFmtId="165" fontId="0" fillId="0" borderId="15" xfId="1" applyNumberFormat="1" applyFont="1" applyFill="1" applyBorder="1" applyAlignment="1" applyProtection="1">
      <alignment horizontal="center" vertical="center"/>
      <protection locked="0"/>
    </xf>
    <xf numFmtId="0" fontId="10" fillId="4" borderId="0" xfId="3" applyFill="1" applyAlignment="1" applyProtection="1">
      <alignment horizontal="center" vertical="center"/>
      <protection locked="0"/>
    </xf>
    <xf numFmtId="0" fontId="7" fillId="3" borderId="0" xfId="0" applyFont="1" applyFill="1" applyProtection="1"/>
    <xf numFmtId="0" fontId="0" fillId="4" borderId="0" xfId="0" applyFill="1" applyProtection="1"/>
    <xf numFmtId="0" fontId="0" fillId="3" borderId="0" xfId="0" applyFill="1" applyProtection="1"/>
    <xf numFmtId="0" fontId="0" fillId="0" borderId="0" xfId="0" applyProtection="1"/>
    <xf numFmtId="0" fontId="7" fillId="4" borderId="0" xfId="0" applyFont="1" applyFill="1" applyProtection="1"/>
    <xf numFmtId="0" fontId="1" fillId="0" borderId="17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center" vertical="center" wrapText="1"/>
    </xf>
    <xf numFmtId="0" fontId="6" fillId="0" borderId="6" xfId="2" applyFont="1" applyBorder="1" applyAlignment="1" applyProtection="1">
      <alignment horizontal="center" vertical="center" wrapText="1"/>
    </xf>
    <xf numFmtId="0" fontId="6" fillId="0" borderId="3" xfId="2" applyFont="1" applyBorder="1" applyAlignment="1" applyProtection="1">
      <alignment horizontal="center" vertical="center" wrapText="1"/>
    </xf>
    <xf numFmtId="0" fontId="6" fillId="0" borderId="7" xfId="2" applyFont="1" applyBorder="1" applyAlignment="1" applyProtection="1">
      <alignment horizontal="center" vertical="center" wrapText="1"/>
    </xf>
    <xf numFmtId="0" fontId="0" fillId="0" borderId="5" xfId="0" applyBorder="1" applyProtection="1"/>
    <xf numFmtId="0" fontId="0" fillId="0" borderId="0" xfId="0" applyBorder="1" applyProtection="1"/>
    <xf numFmtId="0" fontId="0" fillId="0" borderId="4" xfId="0" applyBorder="1" applyProtection="1"/>
    <xf numFmtId="0" fontId="0" fillId="0" borderId="5" xfId="0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9" fontId="0" fillId="0" borderId="0" xfId="1" applyFont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0" fillId="0" borderId="4" xfId="0" applyNumberFormat="1" applyBorder="1" applyProtection="1"/>
    <xf numFmtId="0" fontId="0" fillId="0" borderId="17" xfId="0" applyFont="1" applyFill="1" applyBorder="1" applyAlignment="1" applyProtection="1">
      <alignment horizontal="left"/>
    </xf>
    <xf numFmtId="0" fontId="0" fillId="0" borderId="10" xfId="0" applyFont="1" applyFill="1" applyBorder="1" applyAlignment="1" applyProtection="1">
      <alignment horizontal="left"/>
    </xf>
    <xf numFmtId="0" fontId="7" fillId="3" borderId="14" xfId="0" applyFont="1" applyFill="1" applyBorder="1" applyProtection="1"/>
    <xf numFmtId="0" fontId="0" fillId="0" borderId="17" xfId="0" applyFont="1" applyFill="1" applyBorder="1" applyAlignment="1" applyProtection="1">
      <alignment horizontal="left" vertical="center" wrapText="1"/>
    </xf>
    <xf numFmtId="0" fontId="0" fillId="0" borderId="12" xfId="0" applyFont="1" applyFill="1" applyBorder="1" applyAlignment="1" applyProtection="1">
      <alignment horizontal="left" vertical="center" wrapText="1"/>
    </xf>
    <xf numFmtId="164" fontId="0" fillId="0" borderId="15" xfId="0" applyNumberFormat="1" applyFont="1" applyFill="1" applyBorder="1" applyAlignment="1" applyProtection="1">
      <alignment horizontal="center" vertical="center"/>
    </xf>
    <xf numFmtId="0" fontId="4" fillId="0" borderId="6" xfId="2" applyBorder="1" applyAlignment="1" applyProtection="1">
      <alignment horizontal="center"/>
    </xf>
    <xf numFmtId="0" fontId="4" fillId="0" borderId="3" xfId="2" applyBorder="1" applyAlignment="1" applyProtection="1">
      <alignment horizontal="center"/>
    </xf>
    <xf numFmtId="0" fontId="4" fillId="0" borderId="7" xfId="2" applyBorder="1" applyAlignment="1" applyProtection="1">
      <alignment horizontal="center"/>
    </xf>
    <xf numFmtId="0" fontId="8" fillId="0" borderId="0" xfId="2" applyFont="1" applyBorder="1" applyAlignment="1" applyProtection="1">
      <alignment horizontal="center"/>
    </xf>
    <xf numFmtId="0" fontId="0" fillId="0" borderId="17" xfId="0" applyFont="1" applyFill="1" applyBorder="1" applyAlignment="1" applyProtection="1"/>
    <xf numFmtId="164" fontId="0" fillId="0" borderId="17" xfId="0" applyNumberFormat="1" applyFont="1" applyFill="1" applyBorder="1" applyAlignment="1" applyProtection="1">
      <alignment horizontal="center" vertical="center"/>
    </xf>
    <xf numFmtId="0" fontId="0" fillId="0" borderId="12" xfId="0" applyFont="1" applyFill="1" applyBorder="1" applyAlignment="1" applyProtection="1">
      <alignment horizontal="left"/>
    </xf>
    <xf numFmtId="0" fontId="1" fillId="0" borderId="10" xfId="0" applyFont="1" applyFill="1" applyBorder="1" applyAlignment="1" applyProtection="1">
      <alignment horizontal="left" vertical="center"/>
    </xf>
    <xf numFmtId="0" fontId="1" fillId="0" borderId="12" xfId="0" applyFont="1" applyFill="1" applyBorder="1" applyAlignment="1" applyProtection="1">
      <alignment horizontal="left" vertical="center"/>
    </xf>
    <xf numFmtId="164" fontId="0" fillId="0" borderId="15" xfId="0" applyNumberFormat="1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left" vertical="center" wrapText="1"/>
    </xf>
    <xf numFmtId="0" fontId="1" fillId="0" borderId="12" xfId="0" applyFont="1" applyFill="1" applyBorder="1" applyAlignment="1" applyProtection="1">
      <alignment horizontal="left" vertical="center" wrapText="1"/>
    </xf>
    <xf numFmtId="164" fontId="0" fillId="0" borderId="12" xfId="0" applyNumberFormat="1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left" vertical="center"/>
    </xf>
    <xf numFmtId="0" fontId="1" fillId="0" borderId="13" xfId="0" applyFont="1" applyFill="1" applyBorder="1" applyAlignment="1" applyProtection="1">
      <alignment horizontal="left" vertical="center"/>
    </xf>
    <xf numFmtId="0" fontId="0" fillId="0" borderId="13" xfId="0" applyNumberFormat="1" applyFont="1" applyFill="1" applyBorder="1" applyAlignment="1" applyProtection="1">
      <alignment horizontal="center" vertical="center"/>
    </xf>
    <xf numFmtId="0" fontId="0" fillId="3" borderId="9" xfId="0" applyFill="1" applyBorder="1" applyProtection="1"/>
    <xf numFmtId="0" fontId="7" fillId="3" borderId="0" xfId="0" applyFont="1" applyFill="1" applyBorder="1" applyProtection="1"/>
    <xf numFmtId="0" fontId="7" fillId="3" borderId="16" xfId="0" applyFont="1" applyFill="1" applyBorder="1" applyProtection="1"/>
    <xf numFmtId="0" fontId="9" fillId="0" borderId="6" xfId="2" applyFont="1" applyBorder="1" applyAlignment="1" applyProtection="1">
      <alignment horizontal="center" vertical="center"/>
    </xf>
    <xf numFmtId="0" fontId="9" fillId="0" borderId="3" xfId="2" applyFont="1" applyBorder="1" applyAlignment="1" applyProtection="1">
      <alignment horizontal="center" vertical="center"/>
    </xf>
    <xf numFmtId="0" fontId="9" fillId="0" borderId="7" xfId="2" applyFont="1" applyBorder="1" applyAlignment="1" applyProtection="1">
      <alignment horizontal="center" vertical="center"/>
    </xf>
    <xf numFmtId="0" fontId="0" fillId="3" borderId="8" xfId="0" applyFill="1" applyBorder="1" applyProtection="1"/>
  </cellXfs>
  <cellStyles count="4">
    <cellStyle name="Hiperlink" xfId="3" builtinId="8"/>
    <cellStyle name="Normal" xfId="0" builtinId="0"/>
    <cellStyle name="Porcentagem" xfId="1" builtinId="5"/>
    <cellStyle name="Título 1" xfId="2" builtinId="16"/>
  </cellStyles>
  <dxfs count="1">
    <dxf>
      <font>
        <color rgb="FFFF0000"/>
      </font>
    </dxf>
  </dxfs>
  <tableStyles count="0" defaultTableStyle="TableStyleMedium2" defaultPivotStyle="PivotStyleLight16"/>
  <colors>
    <mruColors>
      <color rgb="FF43DD00"/>
      <color rgb="FF823C32"/>
      <color rgb="FFE7C5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App!$D$30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EC-4135-8F33-364CE9E0AF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EC-4135-8F33-364CE9E0AF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EC-4135-8F33-364CE9E0AF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EC-4135-8F33-364CE9E0AF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EC-4135-8F33-364CE9E0AF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EC-4135-8F33-364CE9E0AF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App!$C$31:$C$36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App!$D$31:$D$36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F-4E33-AC98-E9B78A89A7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0</xdr:row>
      <xdr:rowOff>22860</xdr:rowOff>
    </xdr:from>
    <xdr:to>
      <xdr:col>5</xdr:col>
      <xdr:colOff>294640</xdr:colOff>
      <xdr:row>0</xdr:row>
      <xdr:rowOff>878840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B0BD17B1-493B-0E28-34ED-C7332249545A}"/>
            </a:ext>
          </a:extLst>
        </xdr:cNvPr>
        <xdr:cNvGrpSpPr/>
      </xdr:nvGrpSpPr>
      <xdr:grpSpPr>
        <a:xfrm>
          <a:off x="220980" y="22860"/>
          <a:ext cx="5165205" cy="855980"/>
          <a:chOff x="220980" y="22860"/>
          <a:chExt cx="5163820" cy="855980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F6EA457C-BA59-9949-20CC-C678207F4FBC}"/>
              </a:ext>
            </a:extLst>
          </xdr:cNvPr>
          <xdr:cNvGrpSpPr/>
        </xdr:nvGrpSpPr>
        <xdr:grpSpPr>
          <a:xfrm>
            <a:off x="220980" y="22860"/>
            <a:ext cx="5006340" cy="843693"/>
            <a:chOff x="220980" y="22860"/>
            <a:chExt cx="4389120" cy="843693"/>
          </a:xfrm>
        </xdr:grpSpPr>
        <xdr:sp macro="" textlink="">
          <xdr:nvSpPr>
            <xdr:cNvPr id="2" name="Retângulo: Cantos Arredondados 1">
              <a:extLst>
                <a:ext uri="{FF2B5EF4-FFF2-40B4-BE49-F238E27FC236}">
                  <a16:creationId xmlns:a16="http://schemas.microsoft.com/office/drawing/2014/main" id="{85A69C6B-7C46-BDD4-1A94-B7A5F59671AB}"/>
                </a:ext>
              </a:extLst>
            </xdr:cNvPr>
            <xdr:cNvSpPr/>
          </xdr:nvSpPr>
          <xdr:spPr>
            <a:xfrm>
              <a:off x="220980" y="38100"/>
              <a:ext cx="4389120" cy="822960"/>
            </a:xfrm>
            <a:prstGeom prst="roundRect">
              <a:avLst/>
            </a:prstGeom>
            <a:gradFill flip="none" rotWithShape="1">
              <a:gsLst>
                <a:gs pos="3000">
                  <a:srgbClr val="43DD00"/>
                </a:gs>
                <a:gs pos="39000">
                  <a:schemeClr val="accent6">
                    <a:lumMod val="60000"/>
                    <a:lumOff val="40000"/>
                  </a:schemeClr>
                </a:gs>
                <a:gs pos="89000">
                  <a:srgbClr val="92D050"/>
                </a:gs>
              </a:gsLst>
              <a:lin ang="54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3" name="Retângulo 2">
              <a:extLst>
                <a:ext uri="{FF2B5EF4-FFF2-40B4-BE49-F238E27FC236}">
                  <a16:creationId xmlns:a16="http://schemas.microsoft.com/office/drawing/2014/main" id="{491BFD6B-06F6-77AA-2F62-8DFD4E1B8BD8}"/>
                </a:ext>
              </a:extLst>
            </xdr:cNvPr>
            <xdr:cNvSpPr/>
          </xdr:nvSpPr>
          <xdr:spPr>
            <a:xfrm>
              <a:off x="1249680" y="22860"/>
              <a:ext cx="2346960" cy="843693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spAutoFit/>
            </a:bodyPr>
            <a:lstStyle/>
            <a:p>
              <a:pPr algn="ctr"/>
              <a:r>
                <a:rPr lang="pt-BR" sz="2400" b="1" cap="none" spc="0">
                  <a:ln w="12700">
                    <a:solidFill>
                      <a:schemeClr val="accent1"/>
                    </a:solidFill>
                    <a:prstDash val="solid"/>
                  </a:ln>
                  <a:pattFill prst="pct50">
                    <a:fgClr>
                      <a:schemeClr val="accent1"/>
                    </a:fgClr>
                    <a:bgClr>
                      <a:schemeClr val="accent1">
                        <a:lumMod val="20000"/>
                        <a:lumOff val="80000"/>
                      </a:schemeClr>
                    </a:bgClr>
                  </a:pattFill>
                  <a:effectLst>
                    <a:outerShdw dist="38100" dir="2640000" algn="bl" rotWithShape="0">
                      <a:schemeClr val="accent1"/>
                    </a:outerShdw>
                  </a:effectLst>
                </a:rPr>
                <a:t>SIMULADO</a:t>
              </a:r>
              <a:r>
                <a:rPr lang="pt-BR" sz="2400" b="1" cap="none" spc="0" baseline="0">
                  <a:ln w="12700">
                    <a:solidFill>
                      <a:schemeClr val="accent1"/>
                    </a:solidFill>
                    <a:prstDash val="solid"/>
                  </a:ln>
                  <a:pattFill prst="pct50">
                    <a:fgClr>
                      <a:schemeClr val="accent1"/>
                    </a:fgClr>
                    <a:bgClr>
                      <a:schemeClr val="accent1">
                        <a:lumMod val="20000"/>
                        <a:lumOff val="80000"/>
                      </a:schemeClr>
                    </a:bgClr>
                  </a:pattFill>
                  <a:effectLst>
                    <a:outerShdw dist="38100" dir="2640000" algn="bl" rotWithShape="0">
                      <a:schemeClr val="accent1"/>
                    </a:outerShdw>
                  </a:effectLst>
                </a:rPr>
                <a:t>R DE INVESTIMENTOS</a:t>
              </a:r>
              <a:endParaRPr lang="pt-BR" sz="2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endParaRPr>
            </a:p>
          </xdr:txBody>
        </xdr:sp>
      </xdr:grpSp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014BBF12-F3F6-6192-B55B-9FCD484E383C}"/>
              </a:ext>
            </a:extLst>
          </xdr:cNvPr>
          <xdr:cNvSpPr txBox="1"/>
        </xdr:nvSpPr>
        <xdr:spPr>
          <a:xfrm>
            <a:off x="375920" y="685800"/>
            <a:ext cx="1076960" cy="1727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600"/>
              <a:t>Bootcamp</a:t>
            </a:r>
            <a:r>
              <a:rPr lang="pt-BR" sz="600" baseline="0"/>
              <a:t> Santander 2025</a:t>
            </a:r>
            <a:endParaRPr lang="pt-BR" sz="600"/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9DE01180-211E-4B3F-8182-E585C0CB65C7}"/>
              </a:ext>
            </a:extLst>
          </xdr:cNvPr>
          <xdr:cNvSpPr txBox="1"/>
        </xdr:nvSpPr>
        <xdr:spPr>
          <a:xfrm>
            <a:off x="4307840" y="706120"/>
            <a:ext cx="1076960" cy="1727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600"/>
              <a:t>Por Pedro Henrique</a:t>
            </a:r>
          </a:p>
        </xdr:txBody>
      </xdr:sp>
    </xdr:grpSp>
    <xdr:clientData/>
  </xdr:twoCellAnchor>
  <xdr:twoCellAnchor editAs="absolute">
    <xdr:from>
      <xdr:col>2</xdr:col>
      <xdr:colOff>169068</xdr:colOff>
      <xdr:row>36</xdr:row>
      <xdr:rowOff>85724</xdr:rowOff>
    </xdr:from>
    <xdr:to>
      <xdr:col>4</xdr:col>
      <xdr:colOff>1376363</xdr:colOff>
      <xdr:row>47</xdr:row>
      <xdr:rowOff>19048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45C1E2-2775-A137-1415-EF3F303B9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E3BB-94DB-4D0F-9563-0B2818801919}">
  <dimension ref="A1:F49"/>
  <sheetViews>
    <sheetView showGridLines="0" showRowColHeaders="0" tabSelected="1" topLeftCell="B1" zoomScale="110" zoomScaleNormal="110" workbookViewId="0">
      <selection activeCell="E3" sqref="E3"/>
    </sheetView>
  </sheetViews>
  <sheetFormatPr defaultColWidth="0" defaultRowHeight="14.4" zeroHeight="1" x14ac:dyDescent="0.3"/>
  <cols>
    <col min="1" max="1" width="4.33203125" style="21" hidden="1" customWidth="1"/>
    <col min="2" max="2" width="5.109375" style="21" customWidth="1"/>
    <col min="3" max="5" width="23" style="22" customWidth="1"/>
    <col min="6" max="6" width="5.109375" style="23" customWidth="1"/>
    <col min="7" max="16384" width="8.88671875" style="24" hidden="1"/>
  </cols>
  <sheetData>
    <row r="1" spans="1:6" s="21" customFormat="1" ht="70.8" customHeight="1" thickBot="1" x14ac:dyDescent="0.35">
      <c r="B1" s="64"/>
    </row>
    <row r="2" spans="1:6" ht="46.2" customHeight="1" thickTop="1" thickBot="1" x14ac:dyDescent="0.35">
      <c r="B2" s="65"/>
      <c r="C2" s="66" t="s">
        <v>102</v>
      </c>
      <c r="D2" s="67"/>
      <c r="E2" s="68"/>
      <c r="F2" s="69"/>
    </row>
    <row r="3" spans="1:6" ht="23.4" customHeight="1" thickTop="1" thickBot="1" x14ac:dyDescent="0.35">
      <c r="B3" s="43"/>
      <c r="C3" s="60" t="s">
        <v>105</v>
      </c>
      <c r="D3" s="61"/>
      <c r="E3" s="17"/>
    </row>
    <row r="4" spans="1:6" ht="23.4" customHeight="1" thickTop="1" thickBot="1" x14ac:dyDescent="0.35">
      <c r="B4" s="43"/>
      <c r="C4" s="54" t="s">
        <v>106</v>
      </c>
      <c r="D4" s="55"/>
      <c r="E4" s="16"/>
    </row>
    <row r="5" spans="1:6" ht="23.4" customHeight="1" thickTop="1" thickBot="1" x14ac:dyDescent="0.35">
      <c r="B5" s="43"/>
      <c r="C5" s="54" t="s">
        <v>103</v>
      </c>
      <c r="D5" s="55"/>
      <c r="E5" s="16"/>
    </row>
    <row r="6" spans="1:6" ht="23.4" customHeight="1" thickTop="1" thickBot="1" x14ac:dyDescent="0.35">
      <c r="B6" s="43"/>
      <c r="C6" s="54" t="s">
        <v>107</v>
      </c>
      <c r="D6" s="55"/>
      <c r="E6" s="59" t="str">
        <f>IF(OR(salario&gt;0,extra&gt;0),salario+extra,"R$ 0,00")</f>
        <v>R$ 0,00</v>
      </c>
    </row>
    <row r="7" spans="1:6" ht="23.4" customHeight="1" thickTop="1" thickBot="1" x14ac:dyDescent="0.35">
      <c r="B7" s="43"/>
      <c r="C7" s="60" t="s">
        <v>108</v>
      </c>
      <c r="D7" s="61"/>
      <c r="E7" s="62" t="s">
        <v>109</v>
      </c>
      <c r="F7" s="63"/>
    </row>
    <row r="8" spans="1:6" ht="62.4" customHeight="1" thickTop="1" thickBot="1" x14ac:dyDescent="0.35">
      <c r="B8" s="43"/>
      <c r="C8" s="26" t="str">
        <f>IF(AND(nome&gt;0,E7="SIM"),"Muito bem, "&amp;nome&amp;", ter uma reserva já te poupa de ter dores de cabeça e ser pego de surpresa, deve ser de aproximadamente 6x o seu gasto fixo mensal. Se ainda não tiver a quantia, reserve um pouco a cada mês que chegará lá.",IF(AND(nome=0,E7="SIM"),"Muito bem, ter uma reserva já te poupa de ter dores de cabeça e ser pego de surpresa, deve ser de aproximadamente 6x o seu gasto fixo mensal. Se ainda não tiver a quantia, reserve um pouco a cada mês que chegará lá.",IF(AND(nome&gt;0,E7="NÃO",gastos&gt;0),nome&amp;", é importante ter uma reserva para poupar dores de cabeça e ser pego de surpresa, no seu caso, deve ser de "&amp;"R$ "&amp;gastos*6,"É importante ter uma reserva para poupar dores de cabeça e ser pego de surpresa. Deve ser de aproximadamente 6x o seus gastos fixos mensais. Preencha abaixo para calcularmos quanto precisará ter em reserva")))</f>
        <v>É importante ter uma reserva para poupar dores de cabeça e ser pego de surpresa. Deve ser de aproximadamente 6x o seus gastos fixos mensais. Preencha abaixo para calcularmos quanto precisará ter em reserva</v>
      </c>
      <c r="D8" s="27"/>
      <c r="E8" s="28"/>
    </row>
    <row r="9" spans="1:6" ht="15.6" thickTop="1" thickBot="1" x14ac:dyDescent="0.35">
      <c r="B9" s="43"/>
      <c r="C9" s="54" t="s">
        <v>104</v>
      </c>
      <c r="D9" s="55"/>
      <c r="E9" s="14"/>
    </row>
    <row r="10" spans="1:6" ht="15.6" thickTop="1" thickBot="1" x14ac:dyDescent="0.35">
      <c r="B10" s="43"/>
      <c r="C10" s="54" t="s">
        <v>130</v>
      </c>
      <c r="D10" s="55"/>
      <c r="E10" s="56">
        <f>ganhomes-gastomes</f>
        <v>0</v>
      </c>
    </row>
    <row r="11" spans="1:6" ht="31.2" customHeight="1" thickTop="1" thickBot="1" x14ac:dyDescent="0.35">
      <c r="B11" s="43"/>
      <c r="C11" s="57" t="str">
        <f>IF(nome&gt;0,"Sugestão de investimento para "&amp;nome&amp;" equivalem à 30% do seus ganhos, no total de:","Sugestão de investimento para você equivalem à 30% do seus ganhos, no total de:")</f>
        <v>Sugestão de investimento para você equivalem à 30% do seus ganhos, no total de:</v>
      </c>
      <c r="D11" s="58"/>
      <c r="E11" s="46" t="str">
        <f>IF(OR(salario&gt;0,extra&gt;0),(salario+extra)*0.3,"Preencha seus ganhos")</f>
        <v>Preencha seus ganhos</v>
      </c>
    </row>
    <row r="12" spans="1:6" ht="48" customHeight="1" thickTop="1" thickBot="1" x14ac:dyDescent="0.35">
      <c r="C12" s="26" t="str">
        <f>IF(saldo_mes&gt;vsugerido,"Muito bem "&amp;nome&amp;", seu custo de vida atual é menor que 70% dos seus ganhos, o que te dá maior liberdade para investir.","Olha "&amp;nome&amp;", temos que considerar algumas coisas... Podemos investir com uma margem menor do que os 30% sugerido OU você fazer uma renda extras para que chegue ao valor sugerido.")</f>
        <v>Olha , temos que considerar algumas coisas... Podemos investir com uma margem menor do que os 30% sugerido OU você fazer uma renda extras para que chegue ao valor sugerido.</v>
      </c>
      <c r="D12" s="27"/>
      <c r="E12" s="28"/>
    </row>
    <row r="13" spans="1:6" ht="15.6" thickTop="1" thickBot="1" x14ac:dyDescent="0.35">
      <c r="B13" s="43"/>
      <c r="C13" s="41" t="s">
        <v>110</v>
      </c>
      <c r="D13" s="53"/>
      <c r="E13" s="14"/>
    </row>
    <row r="14" spans="1:6" ht="15.6" thickTop="1" thickBot="1" x14ac:dyDescent="0.35">
      <c r="A14" s="21">
        <f>E14*12</f>
        <v>0</v>
      </c>
      <c r="B14" s="43"/>
      <c r="C14" s="41" t="s">
        <v>111</v>
      </c>
      <c r="D14" s="53"/>
      <c r="E14" s="18"/>
    </row>
    <row r="15" spans="1:6" ht="15.6" thickTop="1" thickBot="1" x14ac:dyDescent="0.35">
      <c r="B15" s="43"/>
      <c r="C15" s="41" t="s">
        <v>112</v>
      </c>
      <c r="D15" s="53"/>
      <c r="E15" s="19"/>
    </row>
    <row r="16" spans="1:6" ht="32.4" customHeight="1" thickTop="1" thickBot="1" x14ac:dyDescent="0.35">
      <c r="B16" s="43"/>
      <c r="C16" s="44" t="str">
        <f>IF(E15&gt;0,"Patrimônio estimado após periodo considerando a margem de "&amp;E15*100&amp;"%:","Preencha a taxa de rendimento mensal aproximada")</f>
        <v>Preencha a taxa de rendimento mensal aproximada</v>
      </c>
      <c r="D16" s="45"/>
      <c r="E16" s="46" t="str">
        <f>IF(AND(aporte&gt;0,E14&gt;0,E15&gt;0),FV(E15,tempo,aporte*-1),"Preencha os dados acima")</f>
        <v>Preencha os dados acima</v>
      </c>
    </row>
    <row r="17" spans="1:6" ht="15" thickTop="1" x14ac:dyDescent="0.3">
      <c r="C17" s="21"/>
      <c r="D17" s="21"/>
      <c r="E17" s="21"/>
      <c r="F17" s="21"/>
    </row>
    <row r="18" spans="1:6" ht="20.399999999999999" thickBot="1" x14ac:dyDescent="0.45">
      <c r="C18" s="47" t="s">
        <v>134</v>
      </c>
      <c r="D18" s="48"/>
      <c r="E18" s="49"/>
    </row>
    <row r="19" spans="1:6" ht="11.4" customHeight="1" thickTop="1" thickBot="1" x14ac:dyDescent="0.35">
      <c r="C19" s="50" t="s">
        <v>131</v>
      </c>
      <c r="D19" s="50" t="s">
        <v>132</v>
      </c>
      <c r="E19" s="50" t="s">
        <v>133</v>
      </c>
    </row>
    <row r="20" spans="1:6" ht="15.6" thickTop="1" thickBot="1" x14ac:dyDescent="0.35">
      <c r="A20" s="21">
        <f>2*12</f>
        <v>24</v>
      </c>
      <c r="C20" s="51" t="s">
        <v>113</v>
      </c>
      <c r="D20" s="52" t="str">
        <f>IF(AND(aporte&gt;0,$E$14&gt;0,$E$15&gt;0),FV($E$15,tempo2,aporte*-1),"Preencha os dados acima")</f>
        <v>Preencha os dados acima</v>
      </c>
      <c r="E20" s="52" t="str">
        <f>IF(AND(aporte&gt;0,$E$14&gt;0,$E$15&gt;0),D20*$E$15,"Preencha os dados acima")</f>
        <v>Preencha os dados acima</v>
      </c>
    </row>
    <row r="21" spans="1:6" ht="15.6" thickTop="1" thickBot="1" x14ac:dyDescent="0.35">
      <c r="A21" s="21">
        <f>5*12</f>
        <v>60</v>
      </c>
      <c r="C21" s="51" t="s">
        <v>114</v>
      </c>
      <c r="D21" s="52" t="str">
        <f>IF(AND(aporte&gt;0,$E$14&gt;0,$E$15&gt;0),FV($E$15,tempo5,aporte*-1),"Preencha os dados acima")</f>
        <v>Preencha os dados acima</v>
      </c>
      <c r="E21" s="52" t="str">
        <f>IF(AND(aporte&gt;0,$E$14&gt;0,$E$15&gt;0),D21*$E$15,"Preencha os dados acima")</f>
        <v>Preencha os dados acima</v>
      </c>
    </row>
    <row r="22" spans="1:6" ht="15.6" thickTop="1" thickBot="1" x14ac:dyDescent="0.35">
      <c r="A22" s="21">
        <f>10*12</f>
        <v>120</v>
      </c>
      <c r="C22" s="51" t="s">
        <v>115</v>
      </c>
      <c r="D22" s="52" t="str">
        <f>IF(AND(aporte&gt;0,$E$14&gt;0,$E$15&gt;0),FV($E$15,tempo10,aporte*-1),"Preencha os dados acima")</f>
        <v>Preencha os dados acima</v>
      </c>
      <c r="E22" s="52" t="str">
        <f>IF(AND(aporte&gt;0,$E$14&gt;0,$E$15&gt;0),D22*$E$15,"Preencha os dados acima")</f>
        <v>Preencha os dados acima</v>
      </c>
    </row>
    <row r="23" spans="1:6" ht="15.6" thickTop="1" thickBot="1" x14ac:dyDescent="0.35">
      <c r="A23" s="21">
        <f>20*12</f>
        <v>240</v>
      </c>
      <c r="C23" s="51" t="s">
        <v>116</v>
      </c>
      <c r="D23" s="52" t="str">
        <f>IF(AND(aporte&gt;0,$E$14&gt;0,$E$15&gt;0),FV($E$15,tempo20,aporte*-1),"Preencha os dados acima")</f>
        <v>Preencha os dados acima</v>
      </c>
      <c r="E23" s="52" t="str">
        <f>IF(AND(aporte&gt;0,$E$14&gt;0,$E$15&gt;0),D23*$E$15,"Preencha os dados acima")</f>
        <v>Preencha os dados acima</v>
      </c>
    </row>
    <row r="24" spans="1:6" ht="15.6" thickTop="1" thickBot="1" x14ac:dyDescent="0.35">
      <c r="A24" s="21">
        <f>30*12</f>
        <v>360</v>
      </c>
      <c r="C24" s="51" t="s">
        <v>117</v>
      </c>
      <c r="D24" s="52" t="str">
        <f>IF(AND(aporte&gt;0,$E$14&gt;0,$E$15&gt;0),FV($E$15,tempo30,aporte*-1),"Preencha os dados acima")</f>
        <v>Preencha os dados acima</v>
      </c>
      <c r="E24" s="52" t="str">
        <f>IF(AND(aporte&gt;0,$E$14&gt;0,$E$15&gt;0),D24*$E$15,"Preencha os dados acima")</f>
        <v>Preencha os dados acima</v>
      </c>
    </row>
    <row r="25" spans="1:6" ht="15.6" thickTop="1" thickBot="1" x14ac:dyDescent="0.35">
      <c r="C25" s="21"/>
      <c r="D25" s="21"/>
      <c r="E25" s="21"/>
      <c r="F25" s="21"/>
    </row>
    <row r="26" spans="1:6" ht="15.6" thickTop="1" thickBot="1" x14ac:dyDescent="0.35">
      <c r="C26" s="41" t="s">
        <v>135</v>
      </c>
      <c r="D26" s="42"/>
      <c r="E26" s="15"/>
    </row>
    <row r="27" spans="1:6" ht="15.6" thickTop="1" thickBot="1" x14ac:dyDescent="0.35">
      <c r="C27" s="26" t="str">
        <f>IFERROR(E26&amp;": "&amp;VLOOKUP(E26,Base!A3:B5,2,0),"Selecione um perfil")</f>
        <v>Selecione um perfil</v>
      </c>
      <c r="D27" s="27"/>
      <c r="E27" s="28"/>
    </row>
    <row r="28" spans="1:6" ht="22.8" customHeight="1" thickTop="1" thickBot="1" x14ac:dyDescent="0.35">
      <c r="C28" s="29" t="str">
        <f>"Onde e quanto investir para o perfil "&amp;perfil</f>
        <v xml:space="preserve">Onde e quanto investir para o perfil </v>
      </c>
      <c r="D28" s="30"/>
      <c r="E28" s="31"/>
    </row>
    <row r="29" spans="1:6" ht="4.8" customHeight="1" thickTop="1" x14ac:dyDescent="0.3">
      <c r="C29" s="32"/>
      <c r="D29" s="33"/>
      <c r="E29" s="34"/>
    </row>
    <row r="30" spans="1:6" x14ac:dyDescent="0.3">
      <c r="C30" s="35" t="s">
        <v>118</v>
      </c>
      <c r="D30" s="36" t="s">
        <v>119</v>
      </c>
      <c r="E30" s="37" t="s">
        <v>120</v>
      </c>
    </row>
    <row r="31" spans="1:6" x14ac:dyDescent="0.3">
      <c r="C31" s="32" t="s">
        <v>121</v>
      </c>
      <c r="D31" s="38" t="str">
        <f t="shared" ref="D31:D36" si="0">IFERROR(VLOOKUP(perfil&amp;"-"&amp;C31,tbl_porc,4,0),"Preencha o perfil")</f>
        <v>Preencha o perfil</v>
      </c>
      <c r="E31" s="39" t="str">
        <f t="shared" ref="E31:E36" si="1">IFERROR(aporte*D31,"Preencha o perfil")</f>
        <v>Preencha o perfil</v>
      </c>
    </row>
    <row r="32" spans="1:6" x14ac:dyDescent="0.3">
      <c r="C32" s="32" t="s">
        <v>122</v>
      </c>
      <c r="D32" s="38" t="str">
        <f t="shared" si="0"/>
        <v>Preencha o perfil</v>
      </c>
      <c r="E32" s="39" t="str">
        <f t="shared" si="1"/>
        <v>Preencha o perfil</v>
      </c>
    </row>
    <row r="33" spans="3:5" x14ac:dyDescent="0.3">
      <c r="C33" s="32" t="s">
        <v>123</v>
      </c>
      <c r="D33" s="38" t="str">
        <f t="shared" si="0"/>
        <v>Preencha o perfil</v>
      </c>
      <c r="E33" s="39" t="str">
        <f t="shared" si="1"/>
        <v>Preencha o perfil</v>
      </c>
    </row>
    <row r="34" spans="3:5" x14ac:dyDescent="0.3">
      <c r="C34" s="32" t="s">
        <v>124</v>
      </c>
      <c r="D34" s="38" t="str">
        <f t="shared" si="0"/>
        <v>Preencha o perfil</v>
      </c>
      <c r="E34" s="39" t="str">
        <f t="shared" si="1"/>
        <v>Preencha o perfil</v>
      </c>
    </row>
    <row r="35" spans="3:5" x14ac:dyDescent="0.3">
      <c r="C35" s="32" t="s">
        <v>125</v>
      </c>
      <c r="D35" s="38" t="str">
        <f t="shared" si="0"/>
        <v>Preencha o perfil</v>
      </c>
      <c r="E35" s="39" t="str">
        <f t="shared" si="1"/>
        <v>Preencha o perfil</v>
      </c>
    </row>
    <row r="36" spans="3:5" x14ac:dyDescent="0.3">
      <c r="C36" s="32" t="s">
        <v>126</v>
      </c>
      <c r="D36" s="38" t="str">
        <f t="shared" si="0"/>
        <v>Preencha o perfil</v>
      </c>
      <c r="E36" s="39" t="str">
        <f t="shared" si="1"/>
        <v>Preencha o perfil</v>
      </c>
    </row>
    <row r="37" spans="3:5" x14ac:dyDescent="0.3">
      <c r="C37" s="32"/>
      <c r="D37" s="33"/>
      <c r="E37" s="40"/>
    </row>
    <row r="38" spans="3:5" x14ac:dyDescent="0.3">
      <c r="C38" s="24"/>
      <c r="D38" s="24"/>
      <c r="E38" s="24"/>
    </row>
    <row r="39" spans="3:5" x14ac:dyDescent="0.3">
      <c r="C39" s="24"/>
      <c r="D39" s="24"/>
      <c r="E39" s="24"/>
    </row>
    <row r="40" spans="3:5" x14ac:dyDescent="0.3">
      <c r="C40" s="24"/>
      <c r="D40" s="24"/>
      <c r="E40" s="24"/>
    </row>
    <row r="41" spans="3:5" x14ac:dyDescent="0.3">
      <c r="C41" s="24"/>
      <c r="D41" s="24"/>
      <c r="E41" s="24"/>
    </row>
    <row r="42" spans="3:5" x14ac:dyDescent="0.3">
      <c r="C42" s="24"/>
      <c r="D42" s="24"/>
      <c r="E42" s="24"/>
    </row>
    <row r="43" spans="3:5" x14ac:dyDescent="0.3">
      <c r="C43" s="24"/>
      <c r="D43" s="24"/>
      <c r="E43" s="24"/>
    </row>
    <row r="44" spans="3:5" x14ac:dyDescent="0.3">
      <c r="C44" s="24"/>
      <c r="D44" s="24"/>
      <c r="E44" s="24"/>
    </row>
    <row r="45" spans="3:5" x14ac:dyDescent="0.3">
      <c r="C45" s="24"/>
      <c r="D45" s="24"/>
      <c r="E45" s="24"/>
    </row>
    <row r="46" spans="3:5" x14ac:dyDescent="0.3">
      <c r="C46" s="24"/>
      <c r="D46" s="24"/>
      <c r="E46" s="24"/>
    </row>
    <row r="47" spans="3:5" x14ac:dyDescent="0.3">
      <c r="C47" s="24"/>
      <c r="D47" s="24"/>
      <c r="E47" s="24"/>
    </row>
    <row r="48" spans="3:5" s="21" customFormat="1" x14ac:dyDescent="0.3"/>
    <row r="49" spans="3:6" x14ac:dyDescent="0.3">
      <c r="C49" s="25"/>
      <c r="D49" s="20" t="s">
        <v>137</v>
      </c>
      <c r="E49" s="25"/>
      <c r="F49" s="21"/>
    </row>
  </sheetData>
  <sheetProtection sheet="1" objects="1" scenarios="1"/>
  <mergeCells count="19">
    <mergeCell ref="C2:E2"/>
    <mergeCell ref="C6:D6"/>
    <mergeCell ref="C7:D7"/>
    <mergeCell ref="C8:E8"/>
    <mergeCell ref="C3:D3"/>
    <mergeCell ref="C4:D4"/>
    <mergeCell ref="C5:D5"/>
    <mergeCell ref="C28:E28"/>
    <mergeCell ref="C9:D9"/>
    <mergeCell ref="C11:D11"/>
    <mergeCell ref="C18:E18"/>
    <mergeCell ref="C27:E27"/>
    <mergeCell ref="C13:D13"/>
    <mergeCell ref="C26:D26"/>
    <mergeCell ref="C14:D14"/>
    <mergeCell ref="C15:D15"/>
    <mergeCell ref="C16:D16"/>
    <mergeCell ref="C10:D10"/>
    <mergeCell ref="C12:E12"/>
  </mergeCells>
  <conditionalFormatting sqref="E10">
    <cfRule type="cellIs" dxfId="0" priority="1" operator="lessThan">
      <formula>0</formula>
    </cfRule>
  </conditionalFormatting>
  <dataValidations count="2">
    <dataValidation type="list" showInputMessage="1" showErrorMessage="1" sqref="E7" xr:uid="{C88DADC7-92A6-4780-8C82-C172685A7236}">
      <formula1>"SIM,NÃO"</formula1>
    </dataValidation>
    <dataValidation type="decimal" errorStyle="information" allowBlank="1" showInputMessage="1" showErrorMessage="1" prompt="Caso não saiba o valor exato, coloque &quot;=&quot; e os valores a serem somados." sqref="E9 E5" xr:uid="{58F5D41E-541A-48DB-ADF1-E73B8A4F68FD}">
      <formula1>0</formula1>
      <formula2>100000</formula2>
    </dataValidation>
  </dataValidations>
  <hyperlinks>
    <hyperlink ref="D49" location="DicionárioFin!A1" tooltip="Clique para ser redirecionado" display="Mini Dicionário de Finanças" xr:uid="{058F4732-C7C2-47FB-B751-C2844C1D674C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36A880-0342-4740-A22C-EFE56B98D701}">
          <x14:formula1>
            <xm:f>Base!$A$3:$A$5</xm:f>
          </x14:formula1>
          <xm:sqref>E26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59E5-EA6E-483F-819F-4463F2F26136}">
  <dimension ref="A3:I41"/>
  <sheetViews>
    <sheetView showGridLines="0" showRowColHeaders="0" workbookViewId="0">
      <selection activeCell="A48" sqref="A48"/>
    </sheetView>
  </sheetViews>
  <sheetFormatPr defaultRowHeight="14.4" x14ac:dyDescent="0.3"/>
  <cols>
    <col min="1" max="1" width="29.21875" bestFit="1" customWidth="1"/>
    <col min="2" max="2" width="21.21875" customWidth="1"/>
    <col min="3" max="3" width="18" bestFit="1" customWidth="1"/>
    <col min="4" max="4" width="8.77734375" customWidth="1"/>
    <col min="5" max="5" width="23.5546875" customWidth="1"/>
    <col min="6" max="6" width="20.21875" customWidth="1"/>
    <col min="7" max="7" width="18" bestFit="1" customWidth="1"/>
    <col min="8" max="8" width="15.5546875" bestFit="1" customWidth="1"/>
    <col min="9" max="9" width="15.21875" bestFit="1" customWidth="1"/>
  </cols>
  <sheetData>
    <row r="3" spans="1:9" x14ac:dyDescent="0.3">
      <c r="A3" t="s">
        <v>67</v>
      </c>
      <c r="B3" t="s">
        <v>70</v>
      </c>
    </row>
    <row r="4" spans="1:9" x14ac:dyDescent="0.3">
      <c r="A4" t="s">
        <v>68</v>
      </c>
      <c r="B4" t="s">
        <v>71</v>
      </c>
      <c r="F4" s="2"/>
      <c r="G4" s="2"/>
      <c r="H4" s="2"/>
      <c r="I4" s="2"/>
    </row>
    <row r="5" spans="1:9" x14ac:dyDescent="0.3">
      <c r="A5" t="s">
        <v>69</v>
      </c>
      <c r="B5" t="s">
        <v>72</v>
      </c>
      <c r="F5" s="2"/>
      <c r="G5" s="2"/>
      <c r="H5" s="2"/>
      <c r="I5" s="2"/>
    </row>
    <row r="6" spans="1:9" x14ac:dyDescent="0.3">
      <c r="F6" s="2"/>
      <c r="G6" s="2"/>
      <c r="H6" s="2"/>
      <c r="I6" s="2"/>
    </row>
    <row r="12" spans="1:9" x14ac:dyDescent="0.3">
      <c r="A12" t="s">
        <v>129</v>
      </c>
      <c r="B12" t="s">
        <v>127</v>
      </c>
      <c r="C12" t="s">
        <v>118</v>
      </c>
      <c r="D12" s="3" t="s">
        <v>128</v>
      </c>
      <c r="F12" t="s">
        <v>77</v>
      </c>
      <c r="G12" t="s">
        <v>78</v>
      </c>
      <c r="H12" t="s">
        <v>79</v>
      </c>
    </row>
    <row r="13" spans="1:9" x14ac:dyDescent="0.3">
      <c r="A13" t="str">
        <f>B13&amp;"-"&amp;C13</f>
        <v>Perfil Conservador-PAPEL</v>
      </c>
      <c r="B13" t="s">
        <v>67</v>
      </c>
      <c r="C13" t="s">
        <v>121</v>
      </c>
      <c r="D13" s="4">
        <v>0.3</v>
      </c>
      <c r="F13" t="s">
        <v>75</v>
      </c>
      <c r="G13" t="s">
        <v>80</v>
      </c>
      <c r="H13" t="s">
        <v>90</v>
      </c>
    </row>
    <row r="14" spans="1:9" x14ac:dyDescent="0.3">
      <c r="A14" t="str">
        <f t="shared" ref="A14:A30" si="0">B14&amp;"-"&amp;C14</f>
        <v>Perfil Conservador-TIJOLO</v>
      </c>
      <c r="B14" t="s">
        <v>67</v>
      </c>
      <c r="C14" t="s">
        <v>122</v>
      </c>
      <c r="D14" s="4">
        <v>0.5</v>
      </c>
      <c r="F14" t="s">
        <v>81</v>
      </c>
      <c r="G14" t="s">
        <v>82</v>
      </c>
      <c r="H14" t="s">
        <v>91</v>
      </c>
    </row>
    <row r="15" spans="1:9" x14ac:dyDescent="0.3">
      <c r="A15" t="str">
        <f t="shared" si="0"/>
        <v>Perfil Conservador-HÍBRIDOS</v>
      </c>
      <c r="B15" t="s">
        <v>67</v>
      </c>
      <c r="C15" t="s">
        <v>123</v>
      </c>
      <c r="D15" s="4">
        <v>0.1</v>
      </c>
      <c r="F15" t="s">
        <v>83</v>
      </c>
      <c r="G15" t="s">
        <v>84</v>
      </c>
      <c r="H15" t="s">
        <v>92</v>
      </c>
    </row>
    <row r="16" spans="1:9" x14ac:dyDescent="0.3">
      <c r="A16" t="str">
        <f t="shared" si="0"/>
        <v>Perfil Conservador-FOFs</v>
      </c>
      <c r="B16" t="s">
        <v>67</v>
      </c>
      <c r="C16" t="s">
        <v>124</v>
      </c>
      <c r="D16" s="4">
        <v>0.1</v>
      </c>
      <c r="F16" t="s">
        <v>85</v>
      </c>
      <c r="G16" t="s">
        <v>86</v>
      </c>
      <c r="H16" t="s">
        <v>93</v>
      </c>
    </row>
    <row r="17" spans="1:8" x14ac:dyDescent="0.3">
      <c r="A17" t="str">
        <f t="shared" si="0"/>
        <v>Perfil Conservador-DESENVOLVIMENTO</v>
      </c>
      <c r="B17" t="s">
        <v>67</v>
      </c>
      <c r="C17" t="s">
        <v>125</v>
      </c>
      <c r="D17" s="4">
        <v>0</v>
      </c>
      <c r="F17" t="s">
        <v>76</v>
      </c>
      <c r="G17" t="s">
        <v>87</v>
      </c>
      <c r="H17" t="s">
        <v>94</v>
      </c>
    </row>
    <row r="18" spans="1:8" x14ac:dyDescent="0.3">
      <c r="A18" t="str">
        <f t="shared" si="0"/>
        <v>Perfil Conservador-HOTELARIAS</v>
      </c>
      <c r="B18" t="s">
        <v>67</v>
      </c>
      <c r="C18" t="s">
        <v>126</v>
      </c>
      <c r="D18" s="4">
        <v>0</v>
      </c>
      <c r="F18" t="s">
        <v>88</v>
      </c>
      <c r="G18" t="s">
        <v>89</v>
      </c>
      <c r="H18" t="s">
        <v>95</v>
      </c>
    </row>
    <row r="19" spans="1:8" x14ac:dyDescent="0.3">
      <c r="A19" t="str">
        <f t="shared" si="0"/>
        <v>Perfil Moderado-PAPEL</v>
      </c>
      <c r="B19" t="s">
        <v>68</v>
      </c>
      <c r="C19" t="s">
        <v>121</v>
      </c>
      <c r="D19" s="4">
        <v>0.32</v>
      </c>
    </row>
    <row r="20" spans="1:8" x14ac:dyDescent="0.3">
      <c r="A20" t="str">
        <f t="shared" si="0"/>
        <v>Perfil Moderado-TIJOLO</v>
      </c>
      <c r="B20" t="s">
        <v>68</v>
      </c>
      <c r="C20" t="s">
        <v>122</v>
      </c>
      <c r="D20" s="4">
        <v>0.35</v>
      </c>
    </row>
    <row r="21" spans="1:8" x14ac:dyDescent="0.3">
      <c r="A21" t="str">
        <f t="shared" si="0"/>
        <v>Perfil Moderado-HÍBRIDOS</v>
      </c>
      <c r="B21" t="s">
        <v>68</v>
      </c>
      <c r="C21" t="s">
        <v>123</v>
      </c>
      <c r="D21" s="4">
        <v>0.08</v>
      </c>
    </row>
    <row r="22" spans="1:8" x14ac:dyDescent="0.3">
      <c r="A22" t="str">
        <f t="shared" si="0"/>
        <v>Perfil Moderado-FOFs</v>
      </c>
      <c r="B22" t="s">
        <v>68</v>
      </c>
      <c r="C22" t="s">
        <v>124</v>
      </c>
      <c r="D22" s="4">
        <v>0.05</v>
      </c>
    </row>
    <row r="23" spans="1:8" x14ac:dyDescent="0.3">
      <c r="A23" t="str">
        <f t="shared" si="0"/>
        <v>Perfil Moderado-DESENVOLVIMENTO</v>
      </c>
      <c r="B23" t="s">
        <v>68</v>
      </c>
      <c r="C23" t="s">
        <v>125</v>
      </c>
      <c r="D23" s="4">
        <v>0.1</v>
      </c>
    </row>
    <row r="24" spans="1:8" x14ac:dyDescent="0.3">
      <c r="A24" t="str">
        <f t="shared" si="0"/>
        <v>Perfil Moderado-HOTELARIAS</v>
      </c>
      <c r="B24" t="s">
        <v>68</v>
      </c>
      <c r="C24" t="s">
        <v>126</v>
      </c>
      <c r="D24" s="4">
        <v>0.1</v>
      </c>
    </row>
    <row r="25" spans="1:8" x14ac:dyDescent="0.3">
      <c r="A25" t="str">
        <f t="shared" si="0"/>
        <v>Perfil Arrojado-PAPEL</v>
      </c>
      <c r="B25" t="s">
        <v>69</v>
      </c>
      <c r="C25" t="s">
        <v>121</v>
      </c>
      <c r="D25" s="4">
        <v>0.5</v>
      </c>
    </row>
    <row r="26" spans="1:8" x14ac:dyDescent="0.3">
      <c r="A26" t="str">
        <f t="shared" si="0"/>
        <v>Perfil Arrojado-TIJOLO</v>
      </c>
      <c r="B26" t="s">
        <v>69</v>
      </c>
      <c r="C26" t="s">
        <v>122</v>
      </c>
      <c r="D26" s="4">
        <v>0.1</v>
      </c>
    </row>
    <row r="27" spans="1:8" x14ac:dyDescent="0.3">
      <c r="A27" t="str">
        <f t="shared" si="0"/>
        <v>Perfil Arrojado-HÍBRIDOS</v>
      </c>
      <c r="B27" t="s">
        <v>69</v>
      </c>
      <c r="C27" t="s">
        <v>123</v>
      </c>
      <c r="D27" s="4">
        <v>0.05</v>
      </c>
    </row>
    <row r="28" spans="1:8" x14ac:dyDescent="0.3">
      <c r="A28" t="str">
        <f t="shared" si="0"/>
        <v>Perfil Arrojado-FOFs</v>
      </c>
      <c r="B28" t="s">
        <v>69</v>
      </c>
      <c r="C28" t="s">
        <v>124</v>
      </c>
      <c r="D28" s="4">
        <v>0.05</v>
      </c>
    </row>
    <row r="29" spans="1:8" x14ac:dyDescent="0.3">
      <c r="A29" t="str">
        <f t="shared" si="0"/>
        <v>Perfil Arrojado-DESENVOLVIMENTO</v>
      </c>
      <c r="B29" t="s">
        <v>69</v>
      </c>
      <c r="C29" t="s">
        <v>125</v>
      </c>
      <c r="D29" s="4">
        <v>0.2</v>
      </c>
    </row>
    <row r="30" spans="1:8" x14ac:dyDescent="0.3">
      <c r="A30" t="str">
        <f t="shared" si="0"/>
        <v>Perfil Arrojado-HOTELARIAS</v>
      </c>
      <c r="B30" t="s">
        <v>69</v>
      </c>
      <c r="C30" t="s">
        <v>126</v>
      </c>
      <c r="D30" s="4">
        <v>0.1</v>
      </c>
    </row>
    <row r="41" spans="1:1" x14ac:dyDescent="0.3">
      <c r="A41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4020-859F-4A00-A477-D76D1874D15F}">
  <dimension ref="A1:XFC43"/>
  <sheetViews>
    <sheetView showGridLines="0" showRowColHeaders="0" zoomScale="120" zoomScaleNormal="120" workbookViewId="0">
      <selection activeCell="A3" sqref="A3"/>
    </sheetView>
  </sheetViews>
  <sheetFormatPr defaultColWidth="0" defaultRowHeight="13.8" zeroHeight="1" x14ac:dyDescent="0.25"/>
  <cols>
    <col min="1" max="1" width="6.33203125" style="1" customWidth="1"/>
    <col min="2" max="2" width="42.6640625" style="1" bestFit="1" customWidth="1"/>
    <col min="3" max="3" width="111.44140625" style="1" bestFit="1" customWidth="1"/>
    <col min="4" max="4" width="6.33203125" style="1" customWidth="1"/>
    <col min="5" max="16383" width="33.33203125" style="1" hidden="1"/>
    <col min="16384" max="16384" width="8.88671875" style="1" hidden="1"/>
  </cols>
  <sheetData>
    <row r="1" spans="1:4" ht="34.200000000000003" customHeight="1" thickBot="1" x14ac:dyDescent="0.3">
      <c r="A1" s="6"/>
      <c r="B1" s="7" t="s">
        <v>101</v>
      </c>
      <c r="C1" s="8" t="s">
        <v>64</v>
      </c>
      <c r="D1" s="6"/>
    </row>
    <row r="2" spans="1:4" x14ac:dyDescent="0.25">
      <c r="A2" s="9"/>
      <c r="B2" s="10" t="s">
        <v>10</v>
      </c>
      <c r="C2" s="10" t="s">
        <v>63</v>
      </c>
      <c r="D2" s="9"/>
    </row>
    <row r="3" spans="1:4" x14ac:dyDescent="0.25">
      <c r="A3" s="9"/>
      <c r="B3" s="11" t="s">
        <v>0</v>
      </c>
      <c r="C3" s="11" t="s">
        <v>1</v>
      </c>
      <c r="D3" s="9"/>
    </row>
    <row r="4" spans="1:4" x14ac:dyDescent="0.25">
      <c r="A4" s="9"/>
      <c r="B4" s="11" t="s">
        <v>61</v>
      </c>
      <c r="C4" s="11" t="s">
        <v>62</v>
      </c>
      <c r="D4" s="9"/>
    </row>
    <row r="5" spans="1:4" x14ac:dyDescent="0.25">
      <c r="A5" s="9"/>
      <c r="B5" s="11" t="s">
        <v>59</v>
      </c>
      <c r="C5" s="11" t="s">
        <v>60</v>
      </c>
      <c r="D5" s="9"/>
    </row>
    <row r="6" spans="1:4" x14ac:dyDescent="0.25">
      <c r="A6" s="9"/>
      <c r="B6" s="11" t="s">
        <v>20</v>
      </c>
      <c r="C6" s="11" t="s">
        <v>21</v>
      </c>
      <c r="D6" s="9"/>
    </row>
    <row r="7" spans="1:4" x14ac:dyDescent="0.25">
      <c r="A7" s="9"/>
      <c r="B7" s="11" t="s">
        <v>24</v>
      </c>
      <c r="C7" s="11" t="s">
        <v>25</v>
      </c>
      <c r="D7" s="9"/>
    </row>
    <row r="8" spans="1:4" x14ac:dyDescent="0.25">
      <c r="A8" s="9"/>
      <c r="B8" s="11" t="s">
        <v>46</v>
      </c>
      <c r="C8" s="11" t="s">
        <v>47</v>
      </c>
      <c r="D8" s="9"/>
    </row>
    <row r="9" spans="1:4" x14ac:dyDescent="0.25">
      <c r="A9" s="9"/>
      <c r="B9" s="11" t="s">
        <v>50</v>
      </c>
      <c r="C9" s="11" t="s">
        <v>51</v>
      </c>
      <c r="D9" s="9"/>
    </row>
    <row r="10" spans="1:4" x14ac:dyDescent="0.25">
      <c r="A10" s="9"/>
      <c r="B10" s="11" t="s">
        <v>22</v>
      </c>
      <c r="C10" s="11" t="s">
        <v>23</v>
      </c>
      <c r="D10" s="9"/>
    </row>
    <row r="11" spans="1:4" x14ac:dyDescent="0.25">
      <c r="A11" s="9"/>
      <c r="B11" s="11" t="s">
        <v>38</v>
      </c>
      <c r="C11" s="11" t="s">
        <v>39</v>
      </c>
      <c r="D11" s="9"/>
    </row>
    <row r="12" spans="1:4" x14ac:dyDescent="0.25">
      <c r="A12" s="9"/>
      <c r="B12" s="11" t="s">
        <v>42</v>
      </c>
      <c r="C12" s="11" t="s">
        <v>43</v>
      </c>
      <c r="D12" s="9"/>
    </row>
    <row r="13" spans="1:4" x14ac:dyDescent="0.25">
      <c r="A13" s="9"/>
      <c r="B13" s="12" t="s">
        <v>73</v>
      </c>
      <c r="C13" s="12" t="s">
        <v>74</v>
      </c>
      <c r="D13" s="9"/>
    </row>
    <row r="14" spans="1:4" x14ac:dyDescent="0.25">
      <c r="A14" s="9"/>
      <c r="B14" s="11" t="s">
        <v>8</v>
      </c>
      <c r="C14" s="11" t="s">
        <v>9</v>
      </c>
      <c r="D14" s="9"/>
    </row>
    <row r="15" spans="1:4" x14ac:dyDescent="0.25">
      <c r="A15" s="9"/>
      <c r="B15" s="11" t="s">
        <v>44</v>
      </c>
      <c r="C15" s="11" t="s">
        <v>45</v>
      </c>
      <c r="D15" s="9"/>
    </row>
    <row r="16" spans="1:4" x14ac:dyDescent="0.25">
      <c r="A16" s="9"/>
      <c r="B16" s="11" t="s">
        <v>48</v>
      </c>
      <c r="C16" s="11" t="s">
        <v>49</v>
      </c>
      <c r="D16" s="9"/>
    </row>
    <row r="17" spans="1:4" x14ac:dyDescent="0.25">
      <c r="A17" s="9"/>
      <c r="B17" s="11" t="s">
        <v>16</v>
      </c>
      <c r="C17" s="11" t="s">
        <v>17</v>
      </c>
      <c r="D17" s="9"/>
    </row>
    <row r="18" spans="1:4" x14ac:dyDescent="0.25">
      <c r="A18" s="9"/>
      <c r="B18" s="12" t="s">
        <v>99</v>
      </c>
      <c r="C18" s="12" t="s">
        <v>87</v>
      </c>
      <c r="D18" s="9"/>
    </row>
    <row r="19" spans="1:4" x14ac:dyDescent="0.25">
      <c r="A19" s="9"/>
      <c r="B19" s="12" t="s">
        <v>85</v>
      </c>
      <c r="C19" s="12" t="s">
        <v>86</v>
      </c>
      <c r="D19" s="9"/>
    </row>
    <row r="20" spans="1:4" x14ac:dyDescent="0.25">
      <c r="A20" s="9"/>
      <c r="B20" s="12" t="s">
        <v>100</v>
      </c>
      <c r="C20" s="12" t="s">
        <v>89</v>
      </c>
      <c r="D20" s="9"/>
    </row>
    <row r="21" spans="1:4" x14ac:dyDescent="0.25">
      <c r="A21" s="9"/>
      <c r="B21" s="11" t="s">
        <v>34</v>
      </c>
      <c r="C21" s="11" t="s">
        <v>35</v>
      </c>
      <c r="D21" s="9"/>
    </row>
    <row r="22" spans="1:4" x14ac:dyDescent="0.25">
      <c r="A22" s="9"/>
      <c r="B22" s="12" t="s">
        <v>96</v>
      </c>
      <c r="C22" s="12" t="s">
        <v>80</v>
      </c>
      <c r="D22" s="9"/>
    </row>
    <row r="23" spans="1:4" x14ac:dyDescent="0.25">
      <c r="A23" s="9"/>
      <c r="B23" s="12" t="s">
        <v>97</v>
      </c>
      <c r="C23" s="12" t="s">
        <v>82</v>
      </c>
      <c r="D23" s="9"/>
    </row>
    <row r="24" spans="1:4" x14ac:dyDescent="0.25">
      <c r="A24" s="9"/>
      <c r="B24" s="12" t="s">
        <v>98</v>
      </c>
      <c r="C24" s="12" t="s">
        <v>84</v>
      </c>
      <c r="D24" s="9"/>
    </row>
    <row r="25" spans="1:4" x14ac:dyDescent="0.25">
      <c r="A25" s="9"/>
      <c r="B25" s="11" t="s">
        <v>36</v>
      </c>
      <c r="C25" s="11" t="s">
        <v>37</v>
      </c>
      <c r="D25" s="9"/>
    </row>
    <row r="26" spans="1:4" x14ac:dyDescent="0.25">
      <c r="A26" s="9"/>
      <c r="B26" s="11" t="s">
        <v>18</v>
      </c>
      <c r="C26" s="11" t="s">
        <v>19</v>
      </c>
      <c r="D26" s="9"/>
    </row>
    <row r="27" spans="1:4" x14ac:dyDescent="0.25">
      <c r="A27" s="9"/>
      <c r="B27" s="11" t="s">
        <v>26</v>
      </c>
      <c r="C27" s="11" t="s">
        <v>27</v>
      </c>
      <c r="D27" s="9"/>
    </row>
    <row r="28" spans="1:4" x14ac:dyDescent="0.25">
      <c r="A28" s="9"/>
      <c r="B28" s="11" t="s">
        <v>32</v>
      </c>
      <c r="C28" s="11" t="s">
        <v>33</v>
      </c>
      <c r="D28" s="9"/>
    </row>
    <row r="29" spans="1:4" x14ac:dyDescent="0.25">
      <c r="A29" s="9"/>
      <c r="B29" s="11" t="s">
        <v>6</v>
      </c>
      <c r="C29" s="11" t="s">
        <v>7</v>
      </c>
      <c r="D29" s="9"/>
    </row>
    <row r="30" spans="1:4" x14ac:dyDescent="0.25">
      <c r="A30" s="9"/>
      <c r="B30" s="11" t="s">
        <v>53</v>
      </c>
      <c r="C30" s="11" t="s">
        <v>54</v>
      </c>
      <c r="D30" s="9"/>
    </row>
    <row r="31" spans="1:4" x14ac:dyDescent="0.25">
      <c r="A31" s="9"/>
      <c r="B31" s="11" t="s">
        <v>29</v>
      </c>
      <c r="C31" s="11" t="s">
        <v>30</v>
      </c>
      <c r="D31" s="9"/>
    </row>
    <row r="32" spans="1:4" x14ac:dyDescent="0.25">
      <c r="A32" s="9"/>
      <c r="B32" s="11" t="s">
        <v>57</v>
      </c>
      <c r="C32" s="11" t="s">
        <v>58</v>
      </c>
      <c r="D32" s="9"/>
    </row>
    <row r="33" spans="1:4" x14ac:dyDescent="0.25">
      <c r="A33" s="9"/>
      <c r="B33" s="11" t="s">
        <v>40</v>
      </c>
      <c r="C33" s="11" t="s">
        <v>41</v>
      </c>
      <c r="D33" s="9"/>
    </row>
    <row r="34" spans="1:4" x14ac:dyDescent="0.25">
      <c r="A34" s="9"/>
      <c r="B34" s="11" t="s">
        <v>11</v>
      </c>
      <c r="C34" s="11" t="s">
        <v>12</v>
      </c>
      <c r="D34" s="9"/>
    </row>
    <row r="35" spans="1:4" x14ac:dyDescent="0.25">
      <c r="A35" s="9"/>
      <c r="B35" s="11" t="s">
        <v>13</v>
      </c>
      <c r="C35" s="11" t="s">
        <v>14</v>
      </c>
      <c r="D35" s="9"/>
    </row>
    <row r="36" spans="1:4" x14ac:dyDescent="0.25">
      <c r="A36" s="9"/>
      <c r="B36" s="11" t="s">
        <v>2</v>
      </c>
      <c r="C36" s="11" t="s">
        <v>3</v>
      </c>
      <c r="D36" s="9"/>
    </row>
    <row r="37" spans="1:4" x14ac:dyDescent="0.25">
      <c r="A37" s="9"/>
      <c r="B37" s="11" t="s">
        <v>4</v>
      </c>
      <c r="C37" s="11" t="s">
        <v>5</v>
      </c>
      <c r="D37" s="9"/>
    </row>
    <row r="38" spans="1:4" x14ac:dyDescent="0.25">
      <c r="A38" s="9"/>
      <c r="B38" s="12" t="s">
        <v>65</v>
      </c>
      <c r="C38" s="11" t="s">
        <v>66</v>
      </c>
      <c r="D38" s="9"/>
    </row>
    <row r="39" spans="1:4" x14ac:dyDescent="0.25">
      <c r="A39" s="9"/>
      <c r="B39" s="11" t="s">
        <v>55</v>
      </c>
      <c r="C39" s="11" t="s">
        <v>56</v>
      </c>
      <c r="D39" s="9"/>
    </row>
    <row r="40" spans="1:4" x14ac:dyDescent="0.25">
      <c r="A40" s="9"/>
      <c r="B40" s="11" t="s">
        <v>28</v>
      </c>
      <c r="C40" s="11" t="s">
        <v>52</v>
      </c>
      <c r="D40" s="9"/>
    </row>
    <row r="41" spans="1:4" x14ac:dyDescent="0.25">
      <c r="A41" s="9"/>
      <c r="B41" s="11" t="s">
        <v>15</v>
      </c>
      <c r="C41" s="11" t="s">
        <v>31</v>
      </c>
      <c r="D41" s="9"/>
    </row>
    <row r="42" spans="1:4" x14ac:dyDescent="0.25">
      <c r="A42" s="9"/>
      <c r="B42" s="9"/>
      <c r="C42" s="9"/>
      <c r="D42" s="9"/>
    </row>
    <row r="43" spans="1:4" ht="14.4" x14ac:dyDescent="0.3">
      <c r="B43" s="13" t="s">
        <v>136</v>
      </c>
      <c r="C43" s="13"/>
    </row>
  </sheetData>
  <sheetProtection sheet="1"/>
  <sortState xmlns:xlrd2="http://schemas.microsoft.com/office/spreadsheetml/2017/richdata2" ref="B2:C41">
    <sortCondition ref="B41"/>
  </sortState>
  <mergeCells count="1">
    <mergeCell ref="B43:C43"/>
  </mergeCells>
  <hyperlinks>
    <hyperlink ref="B43:C43" location="App!A1" tooltip="Clique para ser redirecionado" display="Voltar para o simulador" xr:uid="{63B9AEE4-B28E-4CCF-9EE4-83A724AEF5F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20</vt:i4>
      </vt:variant>
    </vt:vector>
  </HeadingPairs>
  <TitlesOfParts>
    <vt:vector size="23" baseType="lpstr">
      <vt:lpstr>App</vt:lpstr>
      <vt:lpstr>Base</vt:lpstr>
      <vt:lpstr>DicionárioFin</vt:lpstr>
      <vt:lpstr>aporte</vt:lpstr>
      <vt:lpstr>extra</vt:lpstr>
      <vt:lpstr>ganhomes</vt:lpstr>
      <vt:lpstr>gastomes</vt:lpstr>
      <vt:lpstr>gastos</vt:lpstr>
      <vt:lpstr>gmensal</vt:lpstr>
      <vt:lpstr>nome</vt:lpstr>
      <vt:lpstr>perfil</vt:lpstr>
      <vt:lpstr>salario</vt:lpstr>
      <vt:lpstr>saldo_mes</vt:lpstr>
      <vt:lpstr>tbl_porc</vt:lpstr>
      <vt:lpstr>tempo</vt:lpstr>
      <vt:lpstr>tempo10</vt:lpstr>
      <vt:lpstr>tempo2</vt:lpstr>
      <vt:lpstr>tempo20</vt:lpstr>
      <vt:lpstr>tempo30</vt:lpstr>
      <vt:lpstr>tempo5</vt:lpstr>
      <vt:lpstr>ter_reser_nome</vt:lpstr>
      <vt:lpstr>ter_reserva</vt:lpstr>
      <vt:lpstr>vsugerido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Souto</dc:creator>
  <cp:lastModifiedBy>Pedro Henrique Souto</cp:lastModifiedBy>
  <dcterms:created xsi:type="dcterms:W3CDTF">2025-05-26T21:48:21Z</dcterms:created>
  <dcterms:modified xsi:type="dcterms:W3CDTF">2025-06-12T22:02:16Z</dcterms:modified>
</cp:coreProperties>
</file>